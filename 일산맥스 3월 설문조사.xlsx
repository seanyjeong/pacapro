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D6FA1BB-7EB5-4809-A5AF-807453BC04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일산맥스 3월 설문조사" sheetId="1" r:id="rId1"/>
    <sheet name="티셔츠 사이즈 정리" sheetId="2" r:id="rId2"/>
    <sheet name="미제출 학생 명단" sheetId="3" r:id="rId3"/>
    <sheet name="요일별 명단 정리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8" i="2" s="1"/>
  <c r="C4" i="2" l="1"/>
  <c r="C6" i="2"/>
  <c r="C7" i="2"/>
  <c r="C5" i="2"/>
  <c r="C9" i="2" l="1"/>
</calcChain>
</file>

<file path=xl/sharedStrings.xml><?xml version="1.0" encoding="utf-8"?>
<sst xmlns="http://schemas.openxmlformats.org/spreadsheetml/2006/main" count="539" uniqueCount="205">
  <si>
    <t>일산맥스 3월 설문조사</t>
  </si>
  <si>
    <t>No.</t>
  </si>
  <si>
    <t>제출일시</t>
  </si>
  <si>
    <t>학생 이름</t>
  </si>
  <si>
    <t>부모님 전화번호 (공지받으실 번호)</t>
  </si>
  <si>
    <t>티셔츠 사이즈</t>
  </si>
  <si>
    <t>월요일</t>
  </si>
  <si>
    <t>수요일</t>
  </si>
  <si>
    <t>목요일</t>
  </si>
  <si>
    <t>금요일</t>
  </si>
  <si>
    <t>토요일</t>
  </si>
  <si>
    <t>주 횟수</t>
  </si>
  <si>
    <t>03/01 00:12</t>
  </si>
  <si>
    <t>최정하</t>
  </si>
  <si>
    <t>010-8871-9248</t>
  </si>
  <si>
    <t>S</t>
  </si>
  <si>
    <t>✔</t>
  </si>
  <si>
    <t>주3회</t>
  </si>
  <si>
    <t>02/28 23:20</t>
  </si>
  <si>
    <t>전승준</t>
  </si>
  <si>
    <t>010-8728-1028</t>
  </si>
  <si>
    <t>M</t>
  </si>
  <si>
    <t>02/28 23:19</t>
  </si>
  <si>
    <t>백종환</t>
  </si>
  <si>
    <t>010-3099-6656</t>
  </si>
  <si>
    <t>02/28 23:01</t>
  </si>
  <si>
    <t>김지음</t>
  </si>
  <si>
    <t>010-6330-7984</t>
  </si>
  <si>
    <t>XL</t>
  </si>
  <si>
    <t>주2회</t>
  </si>
  <si>
    <t>02/28 22:56</t>
  </si>
  <si>
    <t>여민석</t>
  </si>
  <si>
    <t>010-9595-8127</t>
  </si>
  <si>
    <t>02/28 22:44</t>
  </si>
  <si>
    <t>고준희</t>
  </si>
  <si>
    <t>010-9923-7105</t>
  </si>
  <si>
    <t>02/28 21:37</t>
  </si>
  <si>
    <t>오승우</t>
  </si>
  <si>
    <t>010-5009-6173</t>
  </si>
  <si>
    <t>02/28 19:40</t>
  </si>
  <si>
    <t>백지민</t>
  </si>
  <si>
    <t>010-8858-4725</t>
  </si>
  <si>
    <t>L</t>
  </si>
  <si>
    <t>02/28 19:13</t>
  </si>
  <si>
    <t>김동하</t>
  </si>
  <si>
    <t>010-3213-0655</t>
  </si>
  <si>
    <t>02/28 18:36</t>
  </si>
  <si>
    <t>임주엘</t>
  </si>
  <si>
    <t>010-3764-6596</t>
  </si>
  <si>
    <t>02/28 18:01</t>
  </si>
  <si>
    <t>윤지언</t>
  </si>
  <si>
    <t>010-6270-9083</t>
  </si>
  <si>
    <t>02/28 17:54</t>
  </si>
  <si>
    <t>권동욱</t>
  </si>
  <si>
    <t>010-8526-8864</t>
  </si>
  <si>
    <t>02/28 17:51</t>
  </si>
  <si>
    <t>이도윤</t>
  </si>
  <si>
    <t>010-3249-2820</t>
  </si>
  <si>
    <t>02/28 17:45</t>
  </si>
  <si>
    <t>이준</t>
  </si>
  <si>
    <t>010-5394-9150</t>
  </si>
  <si>
    <t>02/28 17:40</t>
  </si>
  <si>
    <t>박정수</t>
  </si>
  <si>
    <t>010-4015-1455</t>
  </si>
  <si>
    <t>2XL</t>
  </si>
  <si>
    <t>02/28 17:39</t>
  </si>
  <si>
    <t>이호근</t>
  </si>
  <si>
    <t>010-3098-3063</t>
  </si>
  <si>
    <t>02/28 17:38</t>
  </si>
  <si>
    <t>임현지</t>
  </si>
  <si>
    <t>010-5627-3862</t>
  </si>
  <si>
    <t>02/28 10:32</t>
  </si>
  <si>
    <t>김수연</t>
  </si>
  <si>
    <t>010-3375-2436</t>
  </si>
  <si>
    <t>02/28 08:42</t>
  </si>
  <si>
    <t>오윤지</t>
  </si>
  <si>
    <t>010-2573-9191</t>
  </si>
  <si>
    <t>02/28 02:32</t>
  </si>
  <si>
    <t>최한림</t>
  </si>
  <si>
    <t>010-9800-2932</t>
  </si>
  <si>
    <t>02/28 01:16</t>
  </si>
  <si>
    <t>정수연</t>
  </si>
  <si>
    <t>010-5355-4538</t>
  </si>
  <si>
    <t>02/28 01:09</t>
  </si>
  <si>
    <t>서채원</t>
  </si>
  <si>
    <t>010-9160-8976</t>
  </si>
  <si>
    <t>02/28 00:40</t>
  </si>
  <si>
    <t>유가은</t>
  </si>
  <si>
    <t>010-8762-8454</t>
  </si>
  <si>
    <t>02/28 00:14</t>
  </si>
  <si>
    <t>박지우</t>
  </si>
  <si>
    <t>010-3284-4153</t>
  </si>
  <si>
    <t>02/27 23:57</t>
  </si>
  <si>
    <t>이수민</t>
  </si>
  <si>
    <t>010-4739-9355</t>
  </si>
  <si>
    <t>02/27 23:46</t>
  </si>
  <si>
    <t>박지안</t>
  </si>
  <si>
    <t>010-8720-2988</t>
  </si>
  <si>
    <t>02/27 23:31</t>
  </si>
  <si>
    <t>김태양</t>
  </si>
  <si>
    <t>010-4793-7400</t>
  </si>
  <si>
    <t>02/27 23:28</t>
  </si>
  <si>
    <t>강지혁</t>
  </si>
  <si>
    <t>010-5225-3947</t>
  </si>
  <si>
    <t>02/27 23:19</t>
  </si>
  <si>
    <t>최혜은</t>
  </si>
  <si>
    <t>010-3513-4107</t>
  </si>
  <si>
    <t>02/27 23:17</t>
  </si>
  <si>
    <t>최지훈</t>
  </si>
  <si>
    <t>010-3185-9212</t>
  </si>
  <si>
    <t>02/27 23:12</t>
  </si>
  <si>
    <t>임현수</t>
  </si>
  <si>
    <t>010-3433-3641</t>
  </si>
  <si>
    <t>02/27 23:09</t>
  </si>
  <si>
    <t>서명지</t>
  </si>
  <si>
    <t>010-3013-5181</t>
  </si>
  <si>
    <t>조윤태</t>
  </si>
  <si>
    <t>010-7563-3350</t>
  </si>
  <si>
    <t>02/27 23:08</t>
  </si>
  <si>
    <t>김유준</t>
  </si>
  <si>
    <t>010-6292-7255</t>
  </si>
  <si>
    <t>김동혁</t>
  </si>
  <si>
    <t>010-9866-3906</t>
  </si>
  <si>
    <t>최재원</t>
  </si>
  <si>
    <t>010-8947-5261</t>
  </si>
  <si>
    <t>02/27 23:07</t>
  </si>
  <si>
    <t>오예은</t>
  </si>
  <si>
    <t>010-3296-1602</t>
  </si>
  <si>
    <t>하서윤</t>
  </si>
  <si>
    <t>이성연</t>
  </si>
  <si>
    <t>안시현</t>
  </si>
  <si>
    <t>장성준</t>
  </si>
  <si>
    <t>강지연</t>
  </si>
  <si>
    <t>학생명단</t>
    <phoneticPr fontId="7" type="noConversion"/>
  </si>
  <si>
    <t>티셔츠 사이즈 집계표</t>
  </si>
  <si>
    <t>사이즈</t>
  </si>
  <si>
    <t>인원(명)</t>
  </si>
  <si>
    <t>비율</t>
  </si>
  <si>
    <t>합계</t>
  </si>
  <si>
    <t>사이즈별 학생 명단</t>
  </si>
  <si>
    <t>설문조사 미제출 학생 명단</t>
  </si>
  <si>
    <t>요일별 인원 집계표</t>
  </si>
  <si>
    <t>명</t>
  </si>
  <si>
    <t>요일별 학생 명단</t>
  </si>
  <si>
    <t>010-2711-4354</t>
  </si>
  <si>
    <t>010-2490-3693</t>
  </si>
  <si>
    <t>03/01 18:03</t>
  </si>
  <si>
    <t>03/01 18:02</t>
  </si>
  <si>
    <t>S (2명)</t>
    <phoneticPr fontId="7" type="noConversion"/>
  </si>
  <si>
    <t>L (7명)</t>
    <phoneticPr fontId="7" type="noConversion"/>
  </si>
  <si>
    <t>XL (8명)</t>
    <phoneticPr fontId="7" type="noConversion"/>
  </si>
  <si>
    <t>2XL (2명)</t>
    <phoneticPr fontId="7" type="noConversion"/>
  </si>
  <si>
    <t>백지민</t>
    <phoneticPr fontId="7" type="noConversion"/>
  </si>
  <si>
    <t>김수연</t>
    <phoneticPr fontId="7" type="noConversion"/>
  </si>
  <si>
    <t>박지안</t>
    <phoneticPr fontId="7" type="noConversion"/>
  </si>
  <si>
    <t>김태양</t>
    <phoneticPr fontId="7" type="noConversion"/>
  </si>
  <si>
    <t>조윤태</t>
    <phoneticPr fontId="7" type="noConversion"/>
  </si>
  <si>
    <t>최재원</t>
    <phoneticPr fontId="7" type="noConversion"/>
  </si>
  <si>
    <t>장성준</t>
    <phoneticPr fontId="7" type="noConversion"/>
  </si>
  <si>
    <t>김지음</t>
    <phoneticPr fontId="7" type="noConversion"/>
  </si>
  <si>
    <t>오승우</t>
    <phoneticPr fontId="7" type="noConversion"/>
  </si>
  <si>
    <t>김동하</t>
    <phoneticPr fontId="7" type="noConversion"/>
  </si>
  <si>
    <t>권동욱</t>
    <phoneticPr fontId="7" type="noConversion"/>
  </si>
  <si>
    <t>이준</t>
    <phoneticPr fontId="7" type="noConversion"/>
  </si>
  <si>
    <t>박지우</t>
    <phoneticPr fontId="7" type="noConversion"/>
  </si>
  <si>
    <t>김동혁</t>
    <phoneticPr fontId="7" type="noConversion"/>
  </si>
  <si>
    <t>하서윤</t>
    <phoneticPr fontId="7" type="noConversion"/>
  </si>
  <si>
    <t>최정하</t>
    <phoneticPr fontId="7" type="noConversion"/>
  </si>
  <si>
    <t>전승준</t>
    <phoneticPr fontId="7" type="noConversion"/>
  </si>
  <si>
    <t>백종환</t>
    <phoneticPr fontId="7" type="noConversion"/>
  </si>
  <si>
    <t>여민석</t>
    <phoneticPr fontId="7" type="noConversion"/>
  </si>
  <si>
    <t>고준희</t>
    <phoneticPr fontId="7" type="noConversion"/>
  </si>
  <si>
    <t>임주엘</t>
    <phoneticPr fontId="7" type="noConversion"/>
  </si>
  <si>
    <t>윤지언</t>
    <phoneticPr fontId="7" type="noConversion"/>
  </si>
  <si>
    <t>이도윤</t>
    <phoneticPr fontId="7" type="noConversion"/>
  </si>
  <si>
    <t>박정수</t>
    <phoneticPr fontId="7" type="noConversion"/>
  </si>
  <si>
    <t>이호근</t>
    <phoneticPr fontId="7" type="noConversion"/>
  </si>
  <si>
    <t>임현지</t>
    <phoneticPr fontId="7" type="noConversion"/>
  </si>
  <si>
    <t>오윤지</t>
    <phoneticPr fontId="7" type="noConversion"/>
  </si>
  <si>
    <t>최한림</t>
    <phoneticPr fontId="7" type="noConversion"/>
  </si>
  <si>
    <t>정수연</t>
    <phoneticPr fontId="7" type="noConversion"/>
  </si>
  <si>
    <t>서채원</t>
    <phoneticPr fontId="7" type="noConversion"/>
  </si>
  <si>
    <t>유가은</t>
    <phoneticPr fontId="7" type="noConversion"/>
  </si>
  <si>
    <t>이수민</t>
    <phoneticPr fontId="7" type="noConversion"/>
  </si>
  <si>
    <t>강지혁</t>
    <phoneticPr fontId="7" type="noConversion"/>
  </si>
  <si>
    <t>최혜은</t>
    <phoneticPr fontId="7" type="noConversion"/>
  </si>
  <si>
    <t>최지훈</t>
    <phoneticPr fontId="7" type="noConversion"/>
  </si>
  <si>
    <t>임현수</t>
    <phoneticPr fontId="7" type="noConversion"/>
  </si>
  <si>
    <t>서명지</t>
    <phoneticPr fontId="7" type="noConversion"/>
  </si>
  <si>
    <t>김유준</t>
    <phoneticPr fontId="7" type="noConversion"/>
  </si>
  <si>
    <t>오예은</t>
    <phoneticPr fontId="7" type="noConversion"/>
  </si>
  <si>
    <t>010-8864-8701</t>
  </si>
  <si>
    <t>010-3002-2193</t>
  </si>
  <si>
    <t>010-8705-3169</t>
  </si>
  <si>
    <t>M (23명)</t>
  </si>
  <si>
    <t>전체 42명 중 0명 미제출 — 전원 제출 완료! 🎉</t>
  </si>
  <si>
    <t>✅ 전원 제출 완료</t>
  </si>
  <si>
    <t>월요일 (41명)</t>
    <phoneticPr fontId="7" type="noConversion"/>
  </si>
  <si>
    <t>수요일 (28명)</t>
    <phoneticPr fontId="7" type="noConversion"/>
  </si>
  <si>
    <t>목요일 (12명)</t>
    <phoneticPr fontId="7" type="noConversion"/>
  </si>
  <si>
    <t>금요일 (29명)</t>
    <phoneticPr fontId="7" type="noConversion"/>
  </si>
  <si>
    <t>토요일 (9명)</t>
    <phoneticPr fontId="7" type="noConversion"/>
  </si>
  <si>
    <t>03/01 18:22</t>
  </si>
  <si>
    <t>03/01 18:20</t>
  </si>
  <si>
    <t>03/01 18:18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</si>
</sst>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theme="1"/>
      <name val="맑은 고딕"/>
      <family val="2"/>
      <scheme val="minor"/>
    </font>
    <font>
      <b/>
      <sz val="14"/>
      <color rgb="FF1E293B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9CA3AF"/>
      <name val="맑은 고딕"/>
      <family val="3"/>
      <charset val="129"/>
    </font>
    <font>
      <sz val="10"/>
      <color rgb="FF6B7280"/>
      <name val="맑은 고딕"/>
      <family val="3"/>
      <charset val="129"/>
    </font>
    <font>
      <b/>
      <sz val="12"/>
      <color rgb="FF16A34A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0"/>
      <color rgb="FF808080"/>
      <name val="맑은 고딕"/>
      <family val="2"/>
      <scheme val="minor"/>
    </font>
    <font>
      <b/>
      <sz val="16"/>
      <color rgb="FFC00000"/>
      <name val="맑은 고딕"/>
      <family val="2"/>
      <scheme val="minor"/>
    </font>
    <font>
      <sz val="11"/>
      <color rgb="FF808080"/>
      <name val="맑은 고딕"/>
      <family val="2"/>
      <scheme val="minor"/>
    </font>
    <font>
      <sz val="10"/>
      <color rgb="FF6B728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2"/>
      <color rgb="FF16A34A"/>
      <name val="맑은 고딕"/>
      <family val="2"/>
      <scheme val="minor"/>
    </font>
    <font>
      <b/>
      <sz val="16"/>
      <color rgb="FF16A34A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76" fontId="0" fillId="0" borderId="4" xfId="0" applyNumberFormat="1" applyBorder="1"/>
    <xf numFmtId="0" fontId="9" fillId="5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76" fontId="9" fillId="6" borderId="6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3" fillId="0" borderId="2" xfId="0" applyFont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left"/>
    </xf>
    <xf numFmtId="0" fontId="15" fillId="9" borderId="8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49" fontId="13" fillId="9" borderId="8" xfId="0" applyNumberFormat="1" applyFont="1" applyFill="1" applyBorder="1" applyAlignment="1">
      <alignment horizontal="center"/>
    </xf>
    <xf numFmtId="49" fontId="13" fillId="10" borderId="1" xfId="0" applyNumberFormat="1" applyFont="1" applyFill="1" applyBorder="1" applyAlignment="1">
      <alignment horizontal="center"/>
    </xf>
    <xf numFmtId="49" fontId="13" fillId="9" borderId="1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8" fillId="7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6" fillId="11" borderId="9" xfId="0" applyFont="1" applyFill="1" applyBorder="1" applyAlignment="1">
      <alignment horizontal="center"/>
    </xf>
    <xf numFmtId="0" fontId="16" fillId="11" borderId="10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7AA391-634D-4D21-92C4-94DEFCE590FC}">
  <we:reference id="wa200009404" version="1.0.0.8" store="ko-KR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pane ySplit="2" topLeftCell="A8" activePane="bottomLeft" state="frozen"/>
      <selection pane="bottomLeft" activeCell="B36" sqref="B36"/>
    </sheetView>
  </sheetViews>
  <sheetFormatPr defaultRowHeight="16.5" x14ac:dyDescent="0.3"/>
  <cols>
    <col min="1" max="1" width="5" customWidth="1"/>
    <col min="2" max="2" width="12" customWidth="1"/>
    <col min="3" max="3" width="9" customWidth="1"/>
    <col min="4" max="4" width="23" customWidth="1"/>
    <col min="5" max="5" width="11" customWidth="1"/>
    <col min="6" max="10" width="6" customWidth="1"/>
    <col min="11" max="11" width="8" customWidth="1"/>
  </cols>
  <sheetData>
    <row r="1" spans="1:12" ht="36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2" ht="27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4" t="s">
        <v>133</v>
      </c>
    </row>
    <row r="3" spans="1:12" ht="17.25" x14ac:dyDescent="0.3">
      <c r="A3" s="2">
        <v>1</v>
      </c>
      <c r="B3" s="3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5" t="s">
        <v>16</v>
      </c>
      <c r="H3" s="6"/>
      <c r="I3" s="5" t="s">
        <v>16</v>
      </c>
      <c r="J3" s="6"/>
      <c r="K3" s="7" t="s">
        <v>17</v>
      </c>
    </row>
    <row r="4" spans="1:12" ht="17.25" x14ac:dyDescent="0.3">
      <c r="A4" s="8">
        <v>2</v>
      </c>
      <c r="B4" s="9" t="s">
        <v>18</v>
      </c>
      <c r="C4" s="10" t="s">
        <v>19</v>
      </c>
      <c r="D4" s="10" t="s">
        <v>20</v>
      </c>
      <c r="E4" s="10" t="s">
        <v>21</v>
      </c>
      <c r="F4" s="11" t="s">
        <v>16</v>
      </c>
      <c r="G4" s="12"/>
      <c r="H4" s="11" t="s">
        <v>16</v>
      </c>
      <c r="I4" s="11" t="s">
        <v>16</v>
      </c>
      <c r="J4" s="12"/>
      <c r="K4" s="13" t="s">
        <v>17</v>
      </c>
    </row>
    <row r="5" spans="1:12" ht="17.25" x14ac:dyDescent="0.3">
      <c r="A5" s="2">
        <v>3</v>
      </c>
      <c r="B5" s="3" t="s">
        <v>22</v>
      </c>
      <c r="C5" s="4" t="s">
        <v>23</v>
      </c>
      <c r="D5" s="4" t="s">
        <v>24</v>
      </c>
      <c r="E5" s="4" t="s">
        <v>21</v>
      </c>
      <c r="F5" s="5" t="s">
        <v>16</v>
      </c>
      <c r="G5" s="6"/>
      <c r="H5" s="5" t="s">
        <v>16</v>
      </c>
      <c r="I5" s="6"/>
      <c r="J5" s="5" t="s">
        <v>16</v>
      </c>
      <c r="K5" s="7" t="s">
        <v>17</v>
      </c>
    </row>
    <row r="6" spans="1:12" ht="17.25" x14ac:dyDescent="0.3">
      <c r="A6" s="8">
        <v>4</v>
      </c>
      <c r="B6" s="9" t="s">
        <v>25</v>
      </c>
      <c r="C6" s="10" t="s">
        <v>26</v>
      </c>
      <c r="D6" s="10" t="s">
        <v>27</v>
      </c>
      <c r="E6" s="10" t="s">
        <v>28</v>
      </c>
      <c r="F6" s="11" t="s">
        <v>16</v>
      </c>
      <c r="G6" s="12"/>
      <c r="H6" s="11" t="s">
        <v>16</v>
      </c>
      <c r="I6" s="12"/>
      <c r="J6" s="12"/>
      <c r="K6" s="13" t="s">
        <v>29</v>
      </c>
    </row>
    <row r="7" spans="1:12" ht="17.25" x14ac:dyDescent="0.3">
      <c r="A7" s="2">
        <v>5</v>
      </c>
      <c r="B7" s="3" t="s">
        <v>30</v>
      </c>
      <c r="C7" s="4" t="s">
        <v>31</v>
      </c>
      <c r="D7" s="4" t="s">
        <v>32</v>
      </c>
      <c r="E7" s="4" t="s">
        <v>21</v>
      </c>
      <c r="F7" s="5" t="s">
        <v>16</v>
      </c>
      <c r="G7" s="6"/>
      <c r="H7" s="5" t="s">
        <v>16</v>
      </c>
      <c r="I7" s="6"/>
      <c r="J7" s="6"/>
      <c r="K7" s="7" t="s">
        <v>29</v>
      </c>
    </row>
    <row r="8" spans="1:12" ht="17.25" x14ac:dyDescent="0.3">
      <c r="A8" s="8">
        <v>6</v>
      </c>
      <c r="B8" s="9" t="s">
        <v>33</v>
      </c>
      <c r="C8" s="10" t="s">
        <v>34</v>
      </c>
      <c r="D8" s="10" t="s">
        <v>35</v>
      </c>
      <c r="E8" s="10" t="s">
        <v>21</v>
      </c>
      <c r="F8" s="11" t="s">
        <v>16</v>
      </c>
      <c r="G8" s="11" t="s">
        <v>16</v>
      </c>
      <c r="H8" s="12"/>
      <c r="I8" s="11" t="s">
        <v>16</v>
      </c>
      <c r="J8" s="12"/>
      <c r="K8" s="13" t="s">
        <v>17</v>
      </c>
    </row>
    <row r="9" spans="1:12" ht="17.25" x14ac:dyDescent="0.3">
      <c r="A9" s="2">
        <v>7</v>
      </c>
      <c r="B9" s="3" t="s">
        <v>36</v>
      </c>
      <c r="C9" s="4" t="s">
        <v>37</v>
      </c>
      <c r="D9" s="4" t="s">
        <v>38</v>
      </c>
      <c r="E9" s="4" t="s">
        <v>28</v>
      </c>
      <c r="F9" s="5" t="s">
        <v>16</v>
      </c>
      <c r="G9" s="6"/>
      <c r="H9" s="5" t="s">
        <v>16</v>
      </c>
      <c r="I9" s="5" t="s">
        <v>16</v>
      </c>
      <c r="J9" s="6"/>
      <c r="K9" s="7" t="s">
        <v>17</v>
      </c>
    </row>
    <row r="10" spans="1:12" ht="17.25" x14ac:dyDescent="0.3">
      <c r="A10" s="8">
        <v>8</v>
      </c>
      <c r="B10" s="9" t="s">
        <v>39</v>
      </c>
      <c r="C10" s="10" t="s">
        <v>40</v>
      </c>
      <c r="D10" s="10" t="s">
        <v>41</v>
      </c>
      <c r="E10" s="10" t="s">
        <v>42</v>
      </c>
      <c r="F10" s="11" t="s">
        <v>16</v>
      </c>
      <c r="G10" s="11" t="s">
        <v>16</v>
      </c>
      <c r="H10" s="12"/>
      <c r="I10" s="11" t="s">
        <v>16</v>
      </c>
      <c r="J10" s="12"/>
      <c r="K10" s="13" t="s">
        <v>17</v>
      </c>
    </row>
    <row r="11" spans="1:12" ht="17.25" x14ac:dyDescent="0.3">
      <c r="A11" s="2">
        <v>9</v>
      </c>
      <c r="B11" s="3" t="s">
        <v>43</v>
      </c>
      <c r="C11" s="4" t="s">
        <v>44</v>
      </c>
      <c r="D11" s="4" t="s">
        <v>45</v>
      </c>
      <c r="E11" s="4" t="s">
        <v>28</v>
      </c>
      <c r="F11" s="5" t="s">
        <v>16</v>
      </c>
      <c r="G11" s="5" t="s">
        <v>16</v>
      </c>
      <c r="H11" s="6"/>
      <c r="I11" s="5" t="s">
        <v>16</v>
      </c>
      <c r="J11" s="6"/>
      <c r="K11" s="7" t="s">
        <v>17</v>
      </c>
    </row>
    <row r="12" spans="1:12" ht="17.25" x14ac:dyDescent="0.3">
      <c r="A12" s="8">
        <v>10</v>
      </c>
      <c r="B12" s="9" t="s">
        <v>46</v>
      </c>
      <c r="C12" s="10" t="s">
        <v>47</v>
      </c>
      <c r="D12" s="10" t="s">
        <v>48</v>
      </c>
      <c r="E12" s="10" t="s">
        <v>21</v>
      </c>
      <c r="F12" s="11" t="s">
        <v>16</v>
      </c>
      <c r="G12" s="12"/>
      <c r="H12" s="11" t="s">
        <v>16</v>
      </c>
      <c r="I12" s="12"/>
      <c r="J12" s="12"/>
      <c r="K12" s="13" t="s">
        <v>29</v>
      </c>
    </row>
    <row r="13" spans="1:12" ht="17.25" x14ac:dyDescent="0.3">
      <c r="A13" s="2">
        <v>11</v>
      </c>
      <c r="B13" s="3" t="s">
        <v>49</v>
      </c>
      <c r="C13" s="4" t="s">
        <v>50</v>
      </c>
      <c r="D13" s="4" t="s">
        <v>51</v>
      </c>
      <c r="E13" s="4" t="s">
        <v>21</v>
      </c>
      <c r="F13" s="5" t="s">
        <v>16</v>
      </c>
      <c r="G13" s="5" t="s">
        <v>16</v>
      </c>
      <c r="H13" s="6"/>
      <c r="I13" s="5" t="s">
        <v>16</v>
      </c>
      <c r="J13" s="6"/>
      <c r="K13" s="7" t="s">
        <v>17</v>
      </c>
    </row>
    <row r="14" spans="1:12" ht="17.25" x14ac:dyDescent="0.3">
      <c r="A14" s="8">
        <v>12</v>
      </c>
      <c r="B14" s="9" t="s">
        <v>52</v>
      </c>
      <c r="C14" s="10" t="s">
        <v>53</v>
      </c>
      <c r="D14" s="10" t="s">
        <v>54</v>
      </c>
      <c r="E14" s="10" t="s">
        <v>28</v>
      </c>
      <c r="F14" s="11" t="s">
        <v>16</v>
      </c>
      <c r="G14" s="11" t="s">
        <v>16</v>
      </c>
      <c r="H14" s="12"/>
      <c r="I14" s="12"/>
      <c r="J14" s="11" t="s">
        <v>16</v>
      </c>
      <c r="K14" s="13" t="s">
        <v>17</v>
      </c>
    </row>
    <row r="15" spans="1:12" ht="17.25" x14ac:dyDescent="0.3">
      <c r="A15" s="2">
        <v>13</v>
      </c>
      <c r="B15" s="3" t="s">
        <v>55</v>
      </c>
      <c r="C15" s="4" t="s">
        <v>56</v>
      </c>
      <c r="D15" s="4" t="s">
        <v>57</v>
      </c>
      <c r="E15" s="4" t="s">
        <v>21</v>
      </c>
      <c r="F15" s="5" t="s">
        <v>16</v>
      </c>
      <c r="G15" s="5" t="s">
        <v>16</v>
      </c>
      <c r="H15" s="6"/>
      <c r="I15" s="5" t="s">
        <v>16</v>
      </c>
      <c r="J15" s="6"/>
      <c r="K15" s="7" t="s">
        <v>17</v>
      </c>
    </row>
    <row r="16" spans="1:12" ht="17.25" x14ac:dyDescent="0.3">
      <c r="A16" s="8">
        <v>14</v>
      </c>
      <c r="B16" s="9" t="s">
        <v>58</v>
      </c>
      <c r="C16" s="10" t="s">
        <v>59</v>
      </c>
      <c r="D16" s="10" t="s">
        <v>60</v>
      </c>
      <c r="E16" s="10" t="s">
        <v>28</v>
      </c>
      <c r="F16" s="11" t="s">
        <v>16</v>
      </c>
      <c r="G16" s="12"/>
      <c r="H16" s="11" t="s">
        <v>16</v>
      </c>
      <c r="I16" s="12"/>
      <c r="J16" s="12"/>
      <c r="K16" s="13" t="s">
        <v>29</v>
      </c>
    </row>
    <row r="17" spans="1:11" ht="17.25" x14ac:dyDescent="0.3">
      <c r="A17" s="2">
        <v>15</v>
      </c>
      <c r="B17" s="3" t="s">
        <v>61</v>
      </c>
      <c r="C17" s="4" t="s">
        <v>62</v>
      </c>
      <c r="D17" s="4" t="s">
        <v>63</v>
      </c>
      <c r="E17" s="4" t="s">
        <v>64</v>
      </c>
      <c r="F17" s="5" t="s">
        <v>16</v>
      </c>
      <c r="G17" s="5" t="s">
        <v>16</v>
      </c>
      <c r="H17" s="6"/>
      <c r="I17" s="5" t="s">
        <v>16</v>
      </c>
      <c r="J17" s="6"/>
      <c r="K17" s="7" t="s">
        <v>17</v>
      </c>
    </row>
    <row r="18" spans="1:11" ht="17.25" x14ac:dyDescent="0.3">
      <c r="A18" s="8">
        <v>16</v>
      </c>
      <c r="B18" s="9" t="s">
        <v>65</v>
      </c>
      <c r="C18" s="10" t="s">
        <v>66</v>
      </c>
      <c r="D18" s="10" t="s">
        <v>67</v>
      </c>
      <c r="E18" s="10" t="s">
        <v>21</v>
      </c>
      <c r="F18" s="11" t="s">
        <v>16</v>
      </c>
      <c r="G18" s="11" t="s">
        <v>16</v>
      </c>
      <c r="H18" s="12"/>
      <c r="I18" s="12"/>
      <c r="J18" s="11" t="s">
        <v>16</v>
      </c>
      <c r="K18" s="13" t="s">
        <v>17</v>
      </c>
    </row>
    <row r="19" spans="1:11" ht="17.25" x14ac:dyDescent="0.3">
      <c r="A19" s="2">
        <v>17</v>
      </c>
      <c r="B19" s="3" t="s">
        <v>68</v>
      </c>
      <c r="C19" s="4" t="s">
        <v>69</v>
      </c>
      <c r="D19" s="4" t="s">
        <v>70</v>
      </c>
      <c r="E19" s="4" t="s">
        <v>21</v>
      </c>
      <c r="F19" s="5" t="s">
        <v>16</v>
      </c>
      <c r="G19" s="5" t="s">
        <v>16</v>
      </c>
      <c r="H19" s="6"/>
      <c r="I19" s="5" t="s">
        <v>16</v>
      </c>
      <c r="J19" s="6"/>
      <c r="K19" s="7" t="s">
        <v>17</v>
      </c>
    </row>
    <row r="20" spans="1:11" ht="17.25" x14ac:dyDescent="0.3">
      <c r="A20" s="8">
        <v>18</v>
      </c>
      <c r="B20" s="9" t="s">
        <v>71</v>
      </c>
      <c r="C20" s="10" t="s">
        <v>72</v>
      </c>
      <c r="D20" s="10" t="s">
        <v>73</v>
      </c>
      <c r="E20" s="10" t="s">
        <v>42</v>
      </c>
      <c r="F20" s="11" t="s">
        <v>16</v>
      </c>
      <c r="G20" s="12"/>
      <c r="H20" s="12"/>
      <c r="I20" s="11" t="s">
        <v>16</v>
      </c>
      <c r="J20" s="12"/>
      <c r="K20" s="13" t="s">
        <v>29</v>
      </c>
    </row>
    <row r="21" spans="1:11" ht="17.25" x14ac:dyDescent="0.3">
      <c r="A21" s="2">
        <v>19</v>
      </c>
      <c r="B21" s="3" t="s">
        <v>74</v>
      </c>
      <c r="C21" s="4" t="s">
        <v>75</v>
      </c>
      <c r="D21" s="4" t="s">
        <v>76</v>
      </c>
      <c r="E21" s="4" t="s">
        <v>15</v>
      </c>
      <c r="F21" s="5" t="s">
        <v>16</v>
      </c>
      <c r="G21" s="6"/>
      <c r="H21" s="5" t="s">
        <v>16</v>
      </c>
      <c r="I21" s="6"/>
      <c r="J21" s="5" t="s">
        <v>16</v>
      </c>
      <c r="K21" s="7" t="s">
        <v>17</v>
      </c>
    </row>
    <row r="22" spans="1:11" ht="17.25" x14ac:dyDescent="0.3">
      <c r="A22" s="8">
        <v>20</v>
      </c>
      <c r="B22" s="9" t="s">
        <v>77</v>
      </c>
      <c r="C22" s="10" t="s">
        <v>78</v>
      </c>
      <c r="D22" s="10" t="s">
        <v>79</v>
      </c>
      <c r="E22" s="10" t="s">
        <v>64</v>
      </c>
      <c r="F22" s="11" t="s">
        <v>16</v>
      </c>
      <c r="G22" s="11" t="s">
        <v>16</v>
      </c>
      <c r="H22" s="12"/>
      <c r="I22" s="11" t="s">
        <v>16</v>
      </c>
      <c r="J22" s="12"/>
      <c r="K22" s="13" t="s">
        <v>17</v>
      </c>
    </row>
    <row r="23" spans="1:11" ht="17.25" x14ac:dyDescent="0.3">
      <c r="A23" s="2">
        <v>21</v>
      </c>
      <c r="B23" s="3" t="s">
        <v>80</v>
      </c>
      <c r="C23" s="4" t="s">
        <v>81</v>
      </c>
      <c r="D23" s="4" t="s">
        <v>82</v>
      </c>
      <c r="E23" s="4" t="s">
        <v>21</v>
      </c>
      <c r="F23" s="5" t="s">
        <v>16</v>
      </c>
      <c r="G23" s="5" t="s">
        <v>16</v>
      </c>
      <c r="H23" s="6"/>
      <c r="I23" s="5" t="s">
        <v>16</v>
      </c>
      <c r="J23" s="6"/>
      <c r="K23" s="7" t="s">
        <v>17</v>
      </c>
    </row>
    <row r="24" spans="1:11" ht="17.25" x14ac:dyDescent="0.3">
      <c r="A24" s="8">
        <v>22</v>
      </c>
      <c r="B24" s="9" t="s">
        <v>83</v>
      </c>
      <c r="C24" s="10" t="s">
        <v>84</v>
      </c>
      <c r="D24" s="10" t="s">
        <v>85</v>
      </c>
      <c r="E24" s="10" t="s">
        <v>21</v>
      </c>
      <c r="F24" s="11" t="s">
        <v>16</v>
      </c>
      <c r="G24" s="11" t="s">
        <v>16</v>
      </c>
      <c r="H24" s="12"/>
      <c r="I24" s="11" t="s">
        <v>16</v>
      </c>
      <c r="J24" s="12"/>
      <c r="K24" s="13" t="s">
        <v>17</v>
      </c>
    </row>
    <row r="25" spans="1:11" ht="17.25" x14ac:dyDescent="0.3">
      <c r="A25" s="2">
        <v>23</v>
      </c>
      <c r="B25" s="3" t="s">
        <v>86</v>
      </c>
      <c r="C25" s="4" t="s">
        <v>87</v>
      </c>
      <c r="D25" s="4" t="s">
        <v>88</v>
      </c>
      <c r="E25" s="4" t="s">
        <v>21</v>
      </c>
      <c r="F25" s="5" t="s">
        <v>16</v>
      </c>
      <c r="G25" s="6"/>
      <c r="H25" s="6"/>
      <c r="I25" s="5" t="s">
        <v>16</v>
      </c>
      <c r="J25" s="6"/>
      <c r="K25" s="7" t="s">
        <v>29</v>
      </c>
    </row>
    <row r="26" spans="1:11" ht="17.25" x14ac:dyDescent="0.3">
      <c r="A26" s="8">
        <v>24</v>
      </c>
      <c r="B26" s="9" t="s">
        <v>89</v>
      </c>
      <c r="C26" s="10" t="s">
        <v>90</v>
      </c>
      <c r="D26" s="10" t="s">
        <v>91</v>
      </c>
      <c r="E26" s="10" t="s">
        <v>28</v>
      </c>
      <c r="F26" s="11" t="s">
        <v>16</v>
      </c>
      <c r="G26" s="12"/>
      <c r="H26" s="11" t="s">
        <v>16</v>
      </c>
      <c r="I26" s="12"/>
      <c r="J26" s="11" t="s">
        <v>16</v>
      </c>
      <c r="K26" s="13" t="s">
        <v>17</v>
      </c>
    </row>
    <row r="27" spans="1:11" ht="17.25" x14ac:dyDescent="0.3">
      <c r="A27" s="2">
        <v>25</v>
      </c>
      <c r="B27" s="3" t="s">
        <v>92</v>
      </c>
      <c r="C27" s="4" t="s">
        <v>93</v>
      </c>
      <c r="D27" s="4" t="s">
        <v>94</v>
      </c>
      <c r="E27" s="4" t="s">
        <v>21</v>
      </c>
      <c r="F27" s="5" t="s">
        <v>16</v>
      </c>
      <c r="G27" s="5" t="s">
        <v>16</v>
      </c>
      <c r="H27" s="6"/>
      <c r="I27" s="5" t="s">
        <v>16</v>
      </c>
      <c r="J27" s="6"/>
      <c r="K27" s="7" t="s">
        <v>17</v>
      </c>
    </row>
    <row r="28" spans="1:11" ht="17.25" x14ac:dyDescent="0.3">
      <c r="A28" s="8">
        <v>26</v>
      </c>
      <c r="B28" s="9" t="s">
        <v>95</v>
      </c>
      <c r="C28" s="10" t="s">
        <v>96</v>
      </c>
      <c r="D28" s="10" t="s">
        <v>97</v>
      </c>
      <c r="E28" s="10" t="s">
        <v>42</v>
      </c>
      <c r="F28" s="11" t="s">
        <v>16</v>
      </c>
      <c r="G28" s="11" t="s">
        <v>16</v>
      </c>
      <c r="H28" s="12"/>
      <c r="I28" s="11" t="s">
        <v>16</v>
      </c>
      <c r="J28" s="12"/>
      <c r="K28" s="13" t="s">
        <v>17</v>
      </c>
    </row>
    <row r="29" spans="1:11" ht="17.25" x14ac:dyDescent="0.3">
      <c r="A29" s="2">
        <v>27</v>
      </c>
      <c r="B29" s="3" t="s">
        <v>98</v>
      </c>
      <c r="C29" s="4" t="s">
        <v>99</v>
      </c>
      <c r="D29" s="4" t="s">
        <v>100</v>
      </c>
      <c r="E29" s="4" t="s">
        <v>42</v>
      </c>
      <c r="F29" s="5" t="s">
        <v>16</v>
      </c>
      <c r="G29" s="5" t="s">
        <v>16</v>
      </c>
      <c r="H29" s="6"/>
      <c r="I29" s="5" t="s">
        <v>16</v>
      </c>
      <c r="J29" s="6"/>
      <c r="K29" s="7" t="s">
        <v>17</v>
      </c>
    </row>
    <row r="30" spans="1:11" ht="17.25" x14ac:dyDescent="0.3">
      <c r="A30" s="8">
        <v>28</v>
      </c>
      <c r="B30" s="9" t="s">
        <v>101</v>
      </c>
      <c r="C30" s="10" t="s">
        <v>102</v>
      </c>
      <c r="D30" s="10" t="s">
        <v>103</v>
      </c>
      <c r="E30" s="10" t="s">
        <v>21</v>
      </c>
      <c r="F30" s="11" t="s">
        <v>16</v>
      </c>
      <c r="G30" s="11" t="s">
        <v>16</v>
      </c>
      <c r="H30" s="12"/>
      <c r="I30" s="11" t="s">
        <v>16</v>
      </c>
      <c r="J30" s="12"/>
      <c r="K30" s="13" t="s">
        <v>17</v>
      </c>
    </row>
    <row r="31" spans="1:11" ht="17.25" x14ac:dyDescent="0.3">
      <c r="A31" s="2">
        <v>29</v>
      </c>
      <c r="B31" s="3" t="s">
        <v>104</v>
      </c>
      <c r="C31" s="4" t="s">
        <v>105</v>
      </c>
      <c r="D31" s="4" t="s">
        <v>106</v>
      </c>
      <c r="E31" s="4" t="s">
        <v>21</v>
      </c>
      <c r="F31" s="5" t="s">
        <v>16</v>
      </c>
      <c r="G31" s="5" t="s">
        <v>16</v>
      </c>
      <c r="H31" s="6"/>
      <c r="I31" s="5" t="s">
        <v>16</v>
      </c>
      <c r="J31" s="6"/>
      <c r="K31" s="7" t="s">
        <v>17</v>
      </c>
    </row>
    <row r="32" spans="1:11" ht="17.25" x14ac:dyDescent="0.3">
      <c r="A32" s="8">
        <v>30</v>
      </c>
      <c r="B32" s="9" t="s">
        <v>107</v>
      </c>
      <c r="C32" s="10" t="s">
        <v>108</v>
      </c>
      <c r="D32" s="10" t="s">
        <v>109</v>
      </c>
      <c r="E32" s="10" t="s">
        <v>21</v>
      </c>
      <c r="F32" s="11" t="s">
        <v>16</v>
      </c>
      <c r="G32" s="11" t="s">
        <v>16</v>
      </c>
      <c r="H32" s="12"/>
      <c r="I32" s="11" t="s">
        <v>16</v>
      </c>
      <c r="J32" s="12"/>
      <c r="K32" s="13" t="s">
        <v>17</v>
      </c>
    </row>
    <row r="33" spans="1:11" ht="17.25" x14ac:dyDescent="0.3">
      <c r="A33" s="2">
        <v>31</v>
      </c>
      <c r="B33" s="3" t="s">
        <v>110</v>
      </c>
      <c r="C33" s="4" t="s">
        <v>111</v>
      </c>
      <c r="D33" s="4" t="s">
        <v>112</v>
      </c>
      <c r="E33" s="4" t="s">
        <v>21</v>
      </c>
      <c r="F33" s="5" t="s">
        <v>16</v>
      </c>
      <c r="G33" s="5" t="s">
        <v>16</v>
      </c>
      <c r="H33" s="6"/>
      <c r="I33" s="5" t="s">
        <v>16</v>
      </c>
      <c r="J33" s="6"/>
      <c r="K33" s="7" t="s">
        <v>17</v>
      </c>
    </row>
    <row r="34" spans="1:11" ht="17.25" x14ac:dyDescent="0.3">
      <c r="A34" s="8">
        <v>32</v>
      </c>
      <c r="B34" s="9" t="s">
        <v>113</v>
      </c>
      <c r="C34" s="10" t="s">
        <v>114</v>
      </c>
      <c r="D34" s="10" t="s">
        <v>115</v>
      </c>
      <c r="E34" s="10" t="s">
        <v>21</v>
      </c>
      <c r="F34" s="11" t="s">
        <v>16</v>
      </c>
      <c r="G34" s="11" t="s">
        <v>16</v>
      </c>
      <c r="H34" s="12"/>
      <c r="I34" s="11" t="s">
        <v>16</v>
      </c>
      <c r="J34" s="12"/>
      <c r="K34" s="13" t="s">
        <v>17</v>
      </c>
    </row>
    <row r="35" spans="1:11" ht="17.25" x14ac:dyDescent="0.3">
      <c r="A35" s="2">
        <v>33</v>
      </c>
      <c r="B35" s="3" t="s">
        <v>113</v>
      </c>
      <c r="C35" s="4" t="s">
        <v>116</v>
      </c>
      <c r="D35" s="4" t="s">
        <v>117</v>
      </c>
      <c r="E35" s="4" t="s">
        <v>42</v>
      </c>
      <c r="F35" s="5" t="s">
        <v>16</v>
      </c>
      <c r="G35" s="5" t="s">
        <v>16</v>
      </c>
      <c r="H35" s="6"/>
      <c r="I35" s="5" t="s">
        <v>16</v>
      </c>
      <c r="J35" s="6"/>
      <c r="K35" s="7" t="s">
        <v>17</v>
      </c>
    </row>
    <row r="36" spans="1:11" ht="17.25" x14ac:dyDescent="0.3">
      <c r="A36" s="8">
        <v>34</v>
      </c>
      <c r="B36" s="9" t="s">
        <v>118</v>
      </c>
      <c r="C36" s="10" t="s">
        <v>119</v>
      </c>
      <c r="D36" s="10" t="s">
        <v>120</v>
      </c>
      <c r="E36" s="10" t="s">
        <v>21</v>
      </c>
      <c r="F36" s="11" t="s">
        <v>16</v>
      </c>
      <c r="G36" s="11" t="s">
        <v>16</v>
      </c>
      <c r="H36" s="12"/>
      <c r="I36" s="11" t="s">
        <v>16</v>
      </c>
      <c r="J36" s="12"/>
      <c r="K36" s="13" t="s">
        <v>17</v>
      </c>
    </row>
    <row r="37" spans="1:11" ht="17.25" x14ac:dyDescent="0.3">
      <c r="A37" s="2">
        <v>35</v>
      </c>
      <c r="B37" s="3" t="s">
        <v>118</v>
      </c>
      <c r="C37" s="4" t="s">
        <v>121</v>
      </c>
      <c r="D37" s="4" t="s">
        <v>122</v>
      </c>
      <c r="E37" s="4" t="s">
        <v>28</v>
      </c>
      <c r="F37" s="6"/>
      <c r="G37" s="5" t="s">
        <v>16</v>
      </c>
      <c r="H37" s="5" t="s">
        <v>16</v>
      </c>
      <c r="I37" s="6"/>
      <c r="J37" s="5" t="s">
        <v>16</v>
      </c>
      <c r="K37" s="7" t="s">
        <v>17</v>
      </c>
    </row>
    <row r="38" spans="1:11" ht="17.25" x14ac:dyDescent="0.3">
      <c r="A38" s="8">
        <v>36</v>
      </c>
      <c r="B38" s="9" t="s">
        <v>118</v>
      </c>
      <c r="C38" s="10" t="s">
        <v>123</v>
      </c>
      <c r="D38" s="10" t="s">
        <v>124</v>
      </c>
      <c r="E38" s="10" t="s">
        <v>42</v>
      </c>
      <c r="F38" s="11" t="s">
        <v>16</v>
      </c>
      <c r="G38" s="11" t="s">
        <v>16</v>
      </c>
      <c r="H38" s="12"/>
      <c r="I38" s="11" t="s">
        <v>16</v>
      </c>
      <c r="J38" s="12"/>
      <c r="K38" s="13" t="s">
        <v>17</v>
      </c>
    </row>
    <row r="39" spans="1:11" ht="17.25" x14ac:dyDescent="0.3">
      <c r="A39" s="2">
        <v>37</v>
      </c>
      <c r="B39" s="3" t="s">
        <v>125</v>
      </c>
      <c r="C39" s="4" t="s">
        <v>126</v>
      </c>
      <c r="D39" s="4" t="s">
        <v>127</v>
      </c>
      <c r="E39" s="4" t="s">
        <v>21</v>
      </c>
      <c r="F39" s="5" t="s">
        <v>16</v>
      </c>
      <c r="G39" s="5" t="s">
        <v>16</v>
      </c>
      <c r="H39" s="6"/>
      <c r="I39" s="5" t="s">
        <v>16</v>
      </c>
      <c r="J39" s="6"/>
      <c r="K39" s="7" t="s">
        <v>17</v>
      </c>
    </row>
    <row r="40" spans="1:11" ht="17.25" x14ac:dyDescent="0.3">
      <c r="A40" s="8">
        <v>38</v>
      </c>
      <c r="B40" s="3" t="s">
        <v>146</v>
      </c>
      <c r="C40" s="4" t="s">
        <v>128</v>
      </c>
      <c r="D40" s="4" t="s">
        <v>144</v>
      </c>
      <c r="E40" s="4" t="s">
        <v>28</v>
      </c>
      <c r="F40" s="5" t="s">
        <v>16</v>
      </c>
      <c r="G40" s="6"/>
      <c r="H40" s="5" t="s">
        <v>16</v>
      </c>
      <c r="I40" s="6"/>
      <c r="J40" s="5" t="s">
        <v>16</v>
      </c>
      <c r="K40" s="7" t="s">
        <v>17</v>
      </c>
    </row>
    <row r="41" spans="1:11" ht="17.25" x14ac:dyDescent="0.3">
      <c r="A41" s="26">
        <v>39</v>
      </c>
      <c r="B41" s="9" t="s">
        <v>147</v>
      </c>
      <c r="C41" s="10" t="s">
        <v>131</v>
      </c>
      <c r="D41" s="10" t="s">
        <v>145</v>
      </c>
      <c r="E41" s="10" t="s">
        <v>42</v>
      </c>
      <c r="F41" s="11" t="s">
        <v>16</v>
      </c>
      <c r="G41" s="12"/>
      <c r="H41" s="12"/>
      <c r="I41" s="11" t="s">
        <v>16</v>
      </c>
      <c r="J41" s="12"/>
      <c r="K41" s="13" t="s">
        <v>29</v>
      </c>
    </row>
    <row r="42" spans="1:11" ht="17.25" x14ac:dyDescent="0.3">
      <c r="A42" s="27">
        <v>40</v>
      </c>
      <c r="B42" s="42" t="s">
        <v>202</v>
      </c>
      <c r="C42" s="31" t="s">
        <v>132</v>
      </c>
      <c r="D42" s="31" t="s">
        <v>191</v>
      </c>
      <c r="E42" s="31" t="s">
        <v>21</v>
      </c>
      <c r="F42" s="32" t="s">
        <v>16</v>
      </c>
      <c r="G42" s="32" t="s">
        <v>16</v>
      </c>
      <c r="H42" s="33"/>
      <c r="I42" s="33"/>
      <c r="J42" s="32" t="s">
        <v>16</v>
      </c>
      <c r="K42" s="28" t="s">
        <v>17</v>
      </c>
    </row>
    <row r="43" spans="1:11" ht="17.25" x14ac:dyDescent="0.3">
      <c r="A43" s="29">
        <v>41</v>
      </c>
      <c r="B43" s="43" t="s">
        <v>203</v>
      </c>
      <c r="C43" s="34" t="s">
        <v>129</v>
      </c>
      <c r="D43" s="34" t="s">
        <v>192</v>
      </c>
      <c r="E43" s="34" t="s">
        <v>21</v>
      </c>
      <c r="F43" s="35" t="s">
        <v>16</v>
      </c>
      <c r="G43" s="36"/>
      <c r="H43" s="35" t="s">
        <v>16</v>
      </c>
      <c r="I43" s="35" t="s">
        <v>16</v>
      </c>
      <c r="J43" s="36"/>
      <c r="K43" s="30" t="s">
        <v>17</v>
      </c>
    </row>
    <row r="44" spans="1:11" ht="17.25" x14ac:dyDescent="0.3">
      <c r="A44" s="37">
        <v>42</v>
      </c>
      <c r="B44" s="44" t="s">
        <v>204</v>
      </c>
      <c r="C44" s="38" t="s">
        <v>130</v>
      </c>
      <c r="D44" s="38" t="s">
        <v>193</v>
      </c>
      <c r="E44" s="38" t="s">
        <v>21</v>
      </c>
      <c r="F44" s="39" t="s">
        <v>16</v>
      </c>
      <c r="G44" s="39" t="s">
        <v>16</v>
      </c>
      <c r="H44" s="40"/>
      <c r="I44" s="40"/>
      <c r="J44" s="39" t="s">
        <v>16</v>
      </c>
      <c r="K44" s="41" t="s">
        <v>17</v>
      </c>
    </row>
  </sheetData>
  <mergeCells count="1">
    <mergeCell ref="A1:K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0C60-2E61-42BB-926F-7A856D9BF0AD}">
  <dimension ref="A1:E36"/>
  <sheetViews>
    <sheetView workbookViewId="0">
      <selection activeCell="C4" sqref="C4"/>
    </sheetView>
  </sheetViews>
  <sheetFormatPr defaultRowHeight="16.5" x14ac:dyDescent="0.3"/>
  <cols>
    <col min="1" max="5" width="13.375" customWidth="1"/>
  </cols>
  <sheetData>
    <row r="1" spans="1:5" ht="30" customHeight="1" x14ac:dyDescent="0.35">
      <c r="A1" s="45" t="s">
        <v>134</v>
      </c>
      <c r="B1" s="45"/>
      <c r="C1" s="45"/>
    </row>
    <row r="3" spans="1:5" ht="17.25" thickBot="1" x14ac:dyDescent="0.35">
      <c r="A3" s="19" t="s">
        <v>135</v>
      </c>
      <c r="B3" s="19" t="s">
        <v>136</v>
      </c>
      <c r="C3" s="19" t="s">
        <v>137</v>
      </c>
    </row>
    <row r="4" spans="1:5" ht="17.25" thickBot="1" x14ac:dyDescent="0.35">
      <c r="A4" s="17" t="s">
        <v>15</v>
      </c>
      <c r="B4" s="17">
        <v>2</v>
      </c>
      <c r="C4" s="18">
        <f>B4/B9</f>
        <v>4.7619047619047616E-2</v>
      </c>
    </row>
    <row r="5" spans="1:5" ht="17.25" thickBot="1" x14ac:dyDescent="0.35">
      <c r="A5" s="17" t="s">
        <v>21</v>
      </c>
      <c r="B5" s="17">
        <v>23</v>
      </c>
      <c r="C5" s="18">
        <f>B5/B9</f>
        <v>0.54761904761904767</v>
      </c>
    </row>
    <row r="6" spans="1:5" ht="17.25" thickBot="1" x14ac:dyDescent="0.35">
      <c r="A6" s="17" t="s">
        <v>42</v>
      </c>
      <c r="B6" s="17">
        <v>7</v>
      </c>
      <c r="C6" s="18">
        <f>B6/B9</f>
        <v>0.16666666666666666</v>
      </c>
    </row>
    <row r="7" spans="1:5" ht="17.25" thickBot="1" x14ac:dyDescent="0.35">
      <c r="A7" s="17" t="s">
        <v>28</v>
      </c>
      <c r="B7" s="17">
        <v>8</v>
      </c>
      <c r="C7" s="18">
        <f>B7/B9</f>
        <v>0.19047619047619047</v>
      </c>
    </row>
    <row r="8" spans="1:5" ht="17.25" thickBot="1" x14ac:dyDescent="0.35">
      <c r="A8" s="17" t="s">
        <v>64</v>
      </c>
      <c r="B8" s="17">
        <v>2</v>
      </c>
      <c r="C8" s="18">
        <f>B8/B9</f>
        <v>4.7619047619047616E-2</v>
      </c>
    </row>
    <row r="9" spans="1:5" ht="17.25" thickBot="1" x14ac:dyDescent="0.35">
      <c r="A9" s="20" t="s">
        <v>138</v>
      </c>
      <c r="B9" s="20">
        <f>SUM(B4:B8)</f>
        <v>42</v>
      </c>
      <c r="C9" s="21">
        <f>SUM(C4:C8)</f>
        <v>1</v>
      </c>
    </row>
    <row r="10" spans="1:5" ht="17.25" thickTop="1" x14ac:dyDescent="0.3"/>
    <row r="11" spans="1:5" ht="30" customHeight="1" x14ac:dyDescent="0.35">
      <c r="A11" s="45" t="s">
        <v>139</v>
      </c>
      <c r="B11" s="45"/>
      <c r="C11" s="45"/>
      <c r="D11" s="45"/>
      <c r="E11" s="45"/>
    </row>
    <row r="13" spans="1:5" ht="17.25" thickBot="1" x14ac:dyDescent="0.35">
      <c r="A13" s="15" t="s">
        <v>148</v>
      </c>
      <c r="B13" s="15" t="s">
        <v>194</v>
      </c>
      <c r="C13" s="15" t="s">
        <v>149</v>
      </c>
      <c r="D13" s="15" t="s">
        <v>150</v>
      </c>
      <c r="E13" s="15" t="s">
        <v>151</v>
      </c>
    </row>
    <row r="14" spans="1:5" x14ac:dyDescent="0.3">
      <c r="A14" s="16" t="s">
        <v>13</v>
      </c>
      <c r="B14" s="16" t="s">
        <v>19</v>
      </c>
      <c r="C14" s="16" t="s">
        <v>152</v>
      </c>
      <c r="D14" s="16" t="s">
        <v>159</v>
      </c>
      <c r="E14" s="16" t="s">
        <v>62</v>
      </c>
    </row>
    <row r="15" spans="1:5" x14ac:dyDescent="0.3">
      <c r="A15" s="16" t="s">
        <v>75</v>
      </c>
      <c r="B15" s="16" t="s">
        <v>23</v>
      </c>
      <c r="C15" s="16" t="s">
        <v>153</v>
      </c>
      <c r="D15" s="16" t="s">
        <v>160</v>
      </c>
      <c r="E15" s="16" t="s">
        <v>78</v>
      </c>
    </row>
    <row r="16" spans="1:5" x14ac:dyDescent="0.3">
      <c r="B16" s="16" t="s">
        <v>31</v>
      </c>
      <c r="C16" s="16" t="s">
        <v>154</v>
      </c>
      <c r="D16" s="16" t="s">
        <v>161</v>
      </c>
    </row>
    <row r="17" spans="2:4" x14ac:dyDescent="0.3">
      <c r="B17" s="16" t="s">
        <v>34</v>
      </c>
      <c r="C17" s="16" t="s">
        <v>155</v>
      </c>
      <c r="D17" s="16" t="s">
        <v>162</v>
      </c>
    </row>
    <row r="18" spans="2:4" x14ac:dyDescent="0.3">
      <c r="B18" s="16" t="s">
        <v>47</v>
      </c>
      <c r="C18" s="16" t="s">
        <v>156</v>
      </c>
      <c r="D18" s="16" t="s">
        <v>163</v>
      </c>
    </row>
    <row r="19" spans="2:4" x14ac:dyDescent="0.3">
      <c r="B19" s="16" t="s">
        <v>50</v>
      </c>
      <c r="C19" s="16" t="s">
        <v>157</v>
      </c>
      <c r="D19" s="16" t="s">
        <v>164</v>
      </c>
    </row>
    <row r="20" spans="2:4" x14ac:dyDescent="0.3">
      <c r="B20" s="16" t="s">
        <v>56</v>
      </c>
      <c r="C20" s="16" t="s">
        <v>158</v>
      </c>
      <c r="D20" s="16" t="s">
        <v>165</v>
      </c>
    </row>
    <row r="21" spans="2:4" x14ac:dyDescent="0.3">
      <c r="B21" s="16" t="s">
        <v>66</v>
      </c>
      <c r="D21" s="16" t="s">
        <v>166</v>
      </c>
    </row>
    <row r="22" spans="2:4" x14ac:dyDescent="0.3">
      <c r="B22" s="16" t="s">
        <v>69</v>
      </c>
    </row>
    <row r="23" spans="2:4" x14ac:dyDescent="0.3">
      <c r="B23" s="16" t="s">
        <v>81</v>
      </c>
    </row>
    <row r="24" spans="2:4" x14ac:dyDescent="0.3">
      <c r="B24" s="16" t="s">
        <v>84</v>
      </c>
    </row>
    <row r="25" spans="2:4" x14ac:dyDescent="0.3">
      <c r="B25" s="16" t="s">
        <v>87</v>
      </c>
    </row>
    <row r="26" spans="2:4" x14ac:dyDescent="0.3">
      <c r="B26" s="16" t="s">
        <v>93</v>
      </c>
    </row>
    <row r="27" spans="2:4" x14ac:dyDescent="0.3">
      <c r="B27" s="16" t="s">
        <v>102</v>
      </c>
    </row>
    <row r="28" spans="2:4" x14ac:dyDescent="0.3">
      <c r="B28" s="16" t="s">
        <v>105</v>
      </c>
    </row>
    <row r="29" spans="2:4" x14ac:dyDescent="0.3">
      <c r="B29" s="16" t="s">
        <v>108</v>
      </c>
    </row>
    <row r="30" spans="2:4" x14ac:dyDescent="0.3">
      <c r="B30" s="16" t="s">
        <v>111</v>
      </c>
    </row>
    <row r="31" spans="2:4" x14ac:dyDescent="0.3">
      <c r="B31" s="16" t="s">
        <v>114</v>
      </c>
    </row>
    <row r="32" spans="2:4" x14ac:dyDescent="0.3">
      <c r="B32" s="16" t="s">
        <v>119</v>
      </c>
    </row>
    <row r="33" spans="2:2" x14ac:dyDescent="0.3">
      <c r="B33" s="16" t="s">
        <v>126</v>
      </c>
    </row>
    <row r="34" spans="2:2" x14ac:dyDescent="0.3">
      <c r="B34" s="16" t="s">
        <v>132</v>
      </c>
    </row>
    <row r="35" spans="2:2" x14ac:dyDescent="0.3">
      <c r="B35" s="16" t="s">
        <v>129</v>
      </c>
    </row>
    <row r="36" spans="2:2" x14ac:dyDescent="0.3">
      <c r="B36" s="16" t="s">
        <v>130</v>
      </c>
    </row>
  </sheetData>
  <mergeCells count="2">
    <mergeCell ref="A1:C1"/>
    <mergeCell ref="A11:E1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E73B-D7C8-45F8-AF3B-C3472329EC1F}">
  <dimension ref="A1:B4"/>
  <sheetViews>
    <sheetView workbookViewId="0">
      <selection activeCell="B42" sqref="B42:J44"/>
    </sheetView>
  </sheetViews>
  <sheetFormatPr defaultRowHeight="16.5" x14ac:dyDescent="0.3"/>
  <cols>
    <col min="1" max="1" width="8.375" customWidth="1"/>
    <col min="2" max="2" width="16.625" customWidth="1"/>
  </cols>
  <sheetData>
    <row r="1" spans="1:2" ht="30" customHeight="1" x14ac:dyDescent="0.35">
      <c r="A1" s="48" t="s">
        <v>140</v>
      </c>
      <c r="B1" s="48"/>
    </row>
    <row r="2" spans="1:2" x14ac:dyDescent="0.3">
      <c r="A2" s="49" t="s">
        <v>195</v>
      </c>
      <c r="B2" s="49"/>
    </row>
    <row r="4" spans="1:2" ht="39.950000000000003" customHeight="1" x14ac:dyDescent="0.5">
      <c r="A4" s="50" t="s">
        <v>196</v>
      </c>
      <c r="B4" s="51"/>
    </row>
  </sheetData>
  <mergeCells count="3">
    <mergeCell ref="A1:B1"/>
    <mergeCell ref="A2:B2"/>
    <mergeCell ref="A4:B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E2EA-6E17-4D9C-A86A-B0E35FF8FBB7}">
  <dimension ref="A1:E50"/>
  <sheetViews>
    <sheetView workbookViewId="0">
      <selection activeCell="H14" sqref="H14"/>
    </sheetView>
  </sheetViews>
  <sheetFormatPr defaultRowHeight="16.5" x14ac:dyDescent="0.3"/>
  <cols>
    <col min="1" max="5" width="15.875" customWidth="1"/>
  </cols>
  <sheetData>
    <row r="1" spans="1:5" ht="30" customHeight="1" x14ac:dyDescent="0.35">
      <c r="A1" s="45" t="s">
        <v>141</v>
      </c>
      <c r="B1" s="45"/>
      <c r="C1" s="45"/>
      <c r="D1" s="45"/>
      <c r="E1" s="45"/>
    </row>
    <row r="3" spans="1:5" ht="17.25" thickBot="1" x14ac:dyDescent="0.35">
      <c r="A3" s="19" t="s">
        <v>6</v>
      </c>
      <c r="B3" s="19" t="s">
        <v>7</v>
      </c>
      <c r="C3" s="19" t="s">
        <v>8</v>
      </c>
      <c r="D3" s="19" t="s">
        <v>9</v>
      </c>
      <c r="E3" s="19" t="s">
        <v>10</v>
      </c>
    </row>
    <row r="4" spans="1:5" ht="27" thickBot="1" x14ac:dyDescent="0.55000000000000004">
      <c r="A4" s="22">
        <v>41</v>
      </c>
      <c r="B4" s="22">
        <v>28</v>
      </c>
      <c r="C4" s="22">
        <v>12</v>
      </c>
      <c r="D4" s="22">
        <v>29</v>
      </c>
      <c r="E4" s="22">
        <v>9</v>
      </c>
    </row>
    <row r="5" spans="1:5" x14ac:dyDescent="0.3">
      <c r="A5" s="23" t="s">
        <v>142</v>
      </c>
      <c r="B5" s="23" t="s">
        <v>142</v>
      </c>
      <c r="C5" s="23" t="s">
        <v>142</v>
      </c>
      <c r="D5" s="23" t="s">
        <v>142</v>
      </c>
      <c r="E5" s="23" t="s">
        <v>142</v>
      </c>
    </row>
    <row r="7" spans="1:5" ht="30" customHeight="1" x14ac:dyDescent="0.35">
      <c r="A7" s="45" t="s">
        <v>143</v>
      </c>
      <c r="B7" s="45"/>
      <c r="C7" s="45"/>
      <c r="D7" s="45"/>
      <c r="E7" s="45"/>
    </row>
    <row r="9" spans="1:5" ht="17.25" thickBot="1" x14ac:dyDescent="0.35">
      <c r="A9" s="15" t="s">
        <v>197</v>
      </c>
      <c r="B9" s="15" t="s">
        <v>198</v>
      </c>
      <c r="C9" s="15" t="s">
        <v>199</v>
      </c>
      <c r="D9" s="15" t="s">
        <v>200</v>
      </c>
      <c r="E9" s="15" t="s">
        <v>201</v>
      </c>
    </row>
    <row r="10" spans="1:5" x14ac:dyDescent="0.3">
      <c r="A10" s="24" t="s">
        <v>167</v>
      </c>
      <c r="B10" s="24" t="s">
        <v>13</v>
      </c>
      <c r="C10" s="24" t="s">
        <v>168</v>
      </c>
      <c r="D10" s="24" t="s">
        <v>167</v>
      </c>
      <c r="E10" s="24" t="s">
        <v>169</v>
      </c>
    </row>
    <row r="11" spans="1:5" x14ac:dyDescent="0.3">
      <c r="A11" s="16" t="s">
        <v>168</v>
      </c>
      <c r="B11" s="16" t="s">
        <v>34</v>
      </c>
      <c r="C11" s="16" t="s">
        <v>169</v>
      </c>
      <c r="D11" s="16" t="s">
        <v>168</v>
      </c>
      <c r="E11" s="16" t="s">
        <v>162</v>
      </c>
    </row>
    <row r="12" spans="1:5" x14ac:dyDescent="0.3">
      <c r="A12" s="24" t="s">
        <v>169</v>
      </c>
      <c r="B12" s="24" t="s">
        <v>40</v>
      </c>
      <c r="C12" s="24" t="s">
        <v>159</v>
      </c>
      <c r="D12" s="24" t="s">
        <v>171</v>
      </c>
      <c r="E12" s="24" t="s">
        <v>176</v>
      </c>
    </row>
    <row r="13" spans="1:5" x14ac:dyDescent="0.3">
      <c r="A13" s="16" t="s">
        <v>159</v>
      </c>
      <c r="B13" s="16" t="s">
        <v>44</v>
      </c>
      <c r="C13" s="16" t="s">
        <v>170</v>
      </c>
      <c r="D13" s="16" t="s">
        <v>160</v>
      </c>
      <c r="E13" s="16" t="s">
        <v>178</v>
      </c>
    </row>
    <row r="14" spans="1:5" x14ac:dyDescent="0.3">
      <c r="A14" s="24" t="s">
        <v>170</v>
      </c>
      <c r="B14" s="24" t="s">
        <v>50</v>
      </c>
      <c r="C14" s="24" t="s">
        <v>160</v>
      </c>
      <c r="D14" s="24" t="s">
        <v>152</v>
      </c>
      <c r="E14" s="24" t="s">
        <v>164</v>
      </c>
    </row>
    <row r="15" spans="1:5" x14ac:dyDescent="0.3">
      <c r="A15" s="16" t="s">
        <v>171</v>
      </c>
      <c r="B15" s="16" t="s">
        <v>53</v>
      </c>
      <c r="C15" s="16" t="s">
        <v>172</v>
      </c>
      <c r="D15" s="16" t="s">
        <v>161</v>
      </c>
      <c r="E15" s="16" t="s">
        <v>165</v>
      </c>
    </row>
    <row r="16" spans="1:5" x14ac:dyDescent="0.3">
      <c r="A16" s="24" t="s">
        <v>160</v>
      </c>
      <c r="B16" s="24" t="s">
        <v>56</v>
      </c>
      <c r="C16" s="24" t="s">
        <v>163</v>
      </c>
      <c r="D16" s="24" t="s">
        <v>173</v>
      </c>
      <c r="E16" s="24" t="s">
        <v>166</v>
      </c>
    </row>
    <row r="17" spans="1:5" x14ac:dyDescent="0.3">
      <c r="A17" s="16" t="s">
        <v>152</v>
      </c>
      <c r="B17" s="16" t="s">
        <v>62</v>
      </c>
      <c r="C17" s="16" t="s">
        <v>178</v>
      </c>
      <c r="D17" s="16" t="s">
        <v>174</v>
      </c>
      <c r="E17" s="16" t="s">
        <v>132</v>
      </c>
    </row>
    <row r="18" spans="1:5" x14ac:dyDescent="0.3">
      <c r="A18" s="24" t="s">
        <v>161</v>
      </c>
      <c r="B18" s="24" t="s">
        <v>66</v>
      </c>
      <c r="C18" s="24" t="s">
        <v>164</v>
      </c>
      <c r="D18" s="24" t="s">
        <v>175</v>
      </c>
      <c r="E18" s="24" t="s">
        <v>130</v>
      </c>
    </row>
    <row r="19" spans="1:5" x14ac:dyDescent="0.3">
      <c r="A19" s="16" t="s">
        <v>172</v>
      </c>
      <c r="B19" s="16" t="s">
        <v>69</v>
      </c>
      <c r="C19" s="16" t="s">
        <v>165</v>
      </c>
      <c r="D19" s="16" t="s">
        <v>177</v>
      </c>
    </row>
    <row r="20" spans="1:5" x14ac:dyDescent="0.3">
      <c r="A20" s="24" t="s">
        <v>173</v>
      </c>
      <c r="B20" s="24" t="s">
        <v>78</v>
      </c>
      <c r="C20" s="24" t="s">
        <v>166</v>
      </c>
      <c r="D20" s="24" t="s">
        <v>153</v>
      </c>
      <c r="E20" s="25"/>
    </row>
    <row r="21" spans="1:5" x14ac:dyDescent="0.3">
      <c r="A21" s="16" t="s">
        <v>162</v>
      </c>
      <c r="B21" s="16" t="s">
        <v>81</v>
      </c>
      <c r="C21" s="16" t="s">
        <v>129</v>
      </c>
      <c r="D21" s="16" t="s">
        <v>179</v>
      </c>
    </row>
    <row r="22" spans="1:5" x14ac:dyDescent="0.3">
      <c r="A22" s="24" t="s">
        <v>174</v>
      </c>
      <c r="B22" s="24" t="s">
        <v>84</v>
      </c>
      <c r="C22" s="25"/>
      <c r="D22" s="24" t="s">
        <v>180</v>
      </c>
      <c r="E22" s="25"/>
    </row>
    <row r="23" spans="1:5" x14ac:dyDescent="0.3">
      <c r="A23" s="16" t="s">
        <v>163</v>
      </c>
      <c r="B23" s="16" t="s">
        <v>93</v>
      </c>
      <c r="D23" s="16" t="s">
        <v>181</v>
      </c>
    </row>
    <row r="24" spans="1:5" x14ac:dyDescent="0.3">
      <c r="A24" s="24" t="s">
        <v>175</v>
      </c>
      <c r="B24" s="24" t="s">
        <v>96</v>
      </c>
      <c r="C24" s="25"/>
      <c r="D24" s="24" t="s">
        <v>182</v>
      </c>
      <c r="E24" s="25"/>
    </row>
    <row r="25" spans="1:5" x14ac:dyDescent="0.3">
      <c r="A25" s="16" t="s">
        <v>176</v>
      </c>
      <c r="B25" s="16" t="s">
        <v>99</v>
      </c>
      <c r="D25" s="16" t="s">
        <v>183</v>
      </c>
    </row>
    <row r="26" spans="1:5" x14ac:dyDescent="0.3">
      <c r="A26" s="24" t="s">
        <v>177</v>
      </c>
      <c r="B26" s="24" t="s">
        <v>102</v>
      </c>
      <c r="C26" s="25"/>
      <c r="D26" s="24" t="s">
        <v>154</v>
      </c>
      <c r="E26" s="25"/>
    </row>
    <row r="27" spans="1:5" x14ac:dyDescent="0.3">
      <c r="A27" s="16" t="s">
        <v>153</v>
      </c>
      <c r="B27" s="16" t="s">
        <v>105</v>
      </c>
      <c r="D27" s="16" t="s">
        <v>155</v>
      </c>
    </row>
    <row r="28" spans="1:5" x14ac:dyDescent="0.3">
      <c r="A28" s="24" t="s">
        <v>178</v>
      </c>
      <c r="B28" s="24" t="s">
        <v>108</v>
      </c>
      <c r="C28" s="25"/>
      <c r="D28" s="24" t="s">
        <v>184</v>
      </c>
      <c r="E28" s="25"/>
    </row>
    <row r="29" spans="1:5" x14ac:dyDescent="0.3">
      <c r="A29" s="16" t="s">
        <v>179</v>
      </c>
      <c r="B29" s="16" t="s">
        <v>111</v>
      </c>
      <c r="D29" s="16" t="s">
        <v>185</v>
      </c>
    </row>
    <row r="30" spans="1:5" x14ac:dyDescent="0.3">
      <c r="A30" s="24" t="s">
        <v>180</v>
      </c>
      <c r="B30" s="24" t="s">
        <v>114</v>
      </c>
      <c r="C30" s="25"/>
      <c r="D30" s="24" t="s">
        <v>186</v>
      </c>
      <c r="E30" s="25"/>
    </row>
    <row r="31" spans="1:5" x14ac:dyDescent="0.3">
      <c r="A31" s="16" t="s">
        <v>181</v>
      </c>
      <c r="B31" s="16" t="s">
        <v>116</v>
      </c>
      <c r="D31" s="16" t="s">
        <v>187</v>
      </c>
    </row>
    <row r="32" spans="1:5" x14ac:dyDescent="0.3">
      <c r="A32" s="24" t="s">
        <v>182</v>
      </c>
      <c r="B32" s="24" t="s">
        <v>119</v>
      </c>
      <c r="C32" s="25"/>
      <c r="D32" s="24" t="s">
        <v>188</v>
      </c>
      <c r="E32" s="25"/>
    </row>
    <row r="33" spans="1:5" x14ac:dyDescent="0.3">
      <c r="A33" s="16" t="s">
        <v>164</v>
      </c>
      <c r="B33" s="16" t="s">
        <v>121</v>
      </c>
      <c r="D33" s="16" t="s">
        <v>156</v>
      </c>
    </row>
    <row r="34" spans="1:5" x14ac:dyDescent="0.3">
      <c r="A34" s="24" t="s">
        <v>183</v>
      </c>
      <c r="B34" s="24" t="s">
        <v>123</v>
      </c>
      <c r="C34" s="25"/>
      <c r="D34" s="24" t="s">
        <v>189</v>
      </c>
      <c r="E34" s="25"/>
    </row>
    <row r="35" spans="1:5" x14ac:dyDescent="0.3">
      <c r="A35" s="16" t="s">
        <v>154</v>
      </c>
      <c r="B35" s="16" t="s">
        <v>126</v>
      </c>
      <c r="D35" s="16" t="s">
        <v>157</v>
      </c>
    </row>
    <row r="36" spans="1:5" x14ac:dyDescent="0.3">
      <c r="A36" s="24" t="s">
        <v>155</v>
      </c>
      <c r="B36" s="24" t="s">
        <v>132</v>
      </c>
      <c r="C36" s="25"/>
      <c r="D36" s="24" t="s">
        <v>190</v>
      </c>
      <c r="E36" s="25"/>
    </row>
    <row r="37" spans="1:5" x14ac:dyDescent="0.3">
      <c r="A37" s="16" t="s">
        <v>184</v>
      </c>
      <c r="B37" s="16" t="s">
        <v>130</v>
      </c>
      <c r="D37" s="16" t="s">
        <v>158</v>
      </c>
    </row>
    <row r="38" spans="1:5" x14ac:dyDescent="0.3">
      <c r="A38" s="24" t="s">
        <v>185</v>
      </c>
      <c r="B38" s="25"/>
      <c r="C38" s="25"/>
      <c r="D38" s="24" t="s">
        <v>129</v>
      </c>
      <c r="E38" s="25"/>
    </row>
    <row r="39" spans="1:5" x14ac:dyDescent="0.3">
      <c r="A39" s="16" t="s">
        <v>186</v>
      </c>
    </row>
    <row r="40" spans="1:5" x14ac:dyDescent="0.3">
      <c r="A40" s="24" t="s">
        <v>187</v>
      </c>
      <c r="B40" s="25"/>
      <c r="C40" s="25"/>
      <c r="D40" s="25"/>
      <c r="E40" s="25"/>
    </row>
    <row r="41" spans="1:5" x14ac:dyDescent="0.3">
      <c r="A41" s="16" t="s">
        <v>188</v>
      </c>
    </row>
    <row r="42" spans="1:5" x14ac:dyDescent="0.3">
      <c r="A42" s="24" t="s">
        <v>156</v>
      </c>
      <c r="B42" s="25"/>
      <c r="C42" s="25"/>
      <c r="D42" s="25"/>
      <c r="E42" s="25"/>
    </row>
    <row r="43" spans="1:5" x14ac:dyDescent="0.3">
      <c r="A43" s="16" t="s">
        <v>189</v>
      </c>
    </row>
    <row r="44" spans="1:5" x14ac:dyDescent="0.3">
      <c r="A44" s="24" t="s">
        <v>157</v>
      </c>
      <c r="B44" s="25"/>
      <c r="C44" s="25"/>
      <c r="D44" s="25"/>
      <c r="E44" s="25"/>
    </row>
    <row r="45" spans="1:5" x14ac:dyDescent="0.3">
      <c r="A45" s="16" t="s">
        <v>190</v>
      </c>
    </row>
    <row r="46" spans="1:5" x14ac:dyDescent="0.3">
      <c r="A46" s="24" t="s">
        <v>166</v>
      </c>
      <c r="B46" s="25"/>
      <c r="C46" s="25"/>
      <c r="D46" s="25"/>
      <c r="E46" s="25"/>
    </row>
    <row r="47" spans="1:5" x14ac:dyDescent="0.3">
      <c r="A47" s="16" t="s">
        <v>158</v>
      </c>
    </row>
    <row r="48" spans="1:5" x14ac:dyDescent="0.3">
      <c r="A48" s="24" t="s">
        <v>132</v>
      </c>
      <c r="B48" s="25"/>
      <c r="C48" s="25"/>
      <c r="D48" s="25"/>
      <c r="E48" s="25"/>
    </row>
    <row r="49" spans="1:5" x14ac:dyDescent="0.3">
      <c r="A49" s="16" t="s">
        <v>129</v>
      </c>
    </row>
    <row r="50" spans="1:5" x14ac:dyDescent="0.3">
      <c r="A50" s="24" t="s">
        <v>130</v>
      </c>
      <c r="B50" s="25"/>
      <c r="C50" s="25"/>
      <c r="D50" s="25"/>
      <c r="E50" s="25"/>
    </row>
  </sheetData>
  <mergeCells count="2">
    <mergeCell ref="A1:E1"/>
    <mergeCell ref="A7:E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일산맥스 3월 설문조사</vt:lpstr>
      <vt:lpstr>티셔츠 사이즈 정리</vt:lpstr>
      <vt:lpstr>미제출 학생 명단</vt:lpstr>
      <vt:lpstr>요일별 명단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으뜸 정</cp:lastModifiedBy>
  <dcterms:created xsi:type="dcterms:W3CDTF">2026-03-01T08:53:36Z</dcterms:created>
  <dcterms:modified xsi:type="dcterms:W3CDTF">2026-03-01T09:54:26Z</dcterms:modified>
</cp:coreProperties>
</file>